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by Department" sheetId="1" state="visible" r:id="rId1"/>
    <sheet xmlns:r="http://schemas.openxmlformats.org/officeDocument/2006/relationships" name="Salary by Level" sheetId="2" state="visible" r:id="rId2"/>
    <sheet xmlns:r="http://schemas.openxmlformats.org/officeDocument/2006/relationships" name="Location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E3A5A"/>
      </patternFill>
    </fill>
    <fill>
      <patternFill patternType="solid">
        <fgColor rgb="00164A72"/>
      </patternFill>
    </fill>
    <fill>
      <patternFill patternType="solid">
        <fgColor rgb="00FFFFFF"/>
      </patternFill>
    </fill>
    <fill>
      <patternFill patternType="solid">
        <fgColor rgb="00F2F5F8"/>
      </patternFill>
    </fill>
    <fill>
      <patternFill patternType="solid">
        <fgColor rgb="00D8EFFA"/>
      </patternFill>
    </fill>
  </fills>
  <borders count="2">
    <border>
      <left/>
      <right/>
      <top/>
      <bottom/>
      <diagonal/>
    </border>
    <border>
      <left style="thin">
        <color rgb="00C5D5E0"/>
      </left>
      <right style="thin">
        <color rgb="00C5D5E0"/>
      </right>
      <top style="thin">
        <color rgb="00C5D5E0"/>
      </top>
      <bottom style="thin">
        <color rgb="00C5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2" customWidth="1" min="4" max="4"/>
    <col width="12" customWidth="1" min="5" max="5"/>
    <col width="18" customWidth="1" min="6" max="6"/>
    <col width="18" customWidth="1" min="7" max="7"/>
  </cols>
  <sheetData>
    <row r="1" ht="30" customHeight="1">
      <c r="A1" s="1" t="inlineStr">
        <is>
          <t>Headcount &amp; Salary Report 2024</t>
        </is>
      </c>
    </row>
    <row r="2">
      <c r="A2" s="2" t="inlineStr">
        <is>
          <t>Department</t>
        </is>
      </c>
      <c r="B2" s="2" t="inlineStr">
        <is>
          <t>Total Employees</t>
        </is>
      </c>
      <c r="C2" s="2" t="inlineStr">
        <is>
          <t>Active</t>
        </is>
      </c>
      <c r="D2" s="2" t="inlineStr">
        <is>
          <t>Terminated</t>
        </is>
      </c>
      <c r="E2" s="2" t="inlineStr">
        <is>
          <t>Attrition %</t>
        </is>
      </c>
      <c r="F2" s="2" t="inlineStr">
        <is>
          <t>Avg Salary (EUR)</t>
        </is>
      </c>
      <c r="G2" s="2" t="inlineStr">
        <is>
          <t>Dept Budget (EUR)</t>
        </is>
      </c>
    </row>
    <row r="3">
      <c r="A3" s="3" t="inlineStr">
        <is>
          <t>Engineering</t>
        </is>
      </c>
      <c r="B3" s="4" t="n">
        <v>18</v>
      </c>
      <c r="C3" s="4" t="n">
        <v>17</v>
      </c>
      <c r="D3" s="4" t="n">
        <v>1</v>
      </c>
      <c r="E3" s="5">
        <f>D3/B3</f>
        <v/>
      </c>
      <c r="F3" s="6" t="n"/>
      <c r="G3" s="6" t="n">
        <v>850000</v>
      </c>
    </row>
    <row r="4">
      <c r="A4" s="7" t="inlineStr">
        <is>
          <t>HR</t>
        </is>
      </c>
      <c r="B4" s="8" t="n">
        <v>7</v>
      </c>
      <c r="C4" s="8" t="n">
        <v>6</v>
      </c>
      <c r="D4" s="8" t="n">
        <v>1</v>
      </c>
      <c r="E4" s="9">
        <f>D4/B4</f>
        <v/>
      </c>
      <c r="F4" s="10" t="n"/>
      <c r="G4" s="10" t="n">
        <v>210000</v>
      </c>
    </row>
    <row r="5">
      <c r="A5" s="3" t="inlineStr">
        <is>
          <t>Sales</t>
        </is>
      </c>
      <c r="B5" s="4" t="n">
        <v>10</v>
      </c>
      <c r="C5" s="4" t="n">
        <v>9</v>
      </c>
      <c r="D5" s="4" t="n">
        <v>1</v>
      </c>
      <c r="E5" s="5">
        <f>D5/B5</f>
        <v/>
      </c>
      <c r="F5" s="6" t="n"/>
      <c r="G5" s="6" t="n">
        <v>620000</v>
      </c>
    </row>
    <row r="6">
      <c r="A6" s="7" t="inlineStr">
        <is>
          <t>Finance</t>
        </is>
      </c>
      <c r="B6" s="8" t="n">
        <v>6</v>
      </c>
      <c r="C6" s="8" t="n">
        <v>6</v>
      </c>
      <c r="D6" s="8" t="n">
        <v>0</v>
      </c>
      <c r="E6" s="9">
        <f>D6/B6</f>
        <v/>
      </c>
      <c r="F6" s="10" t="n"/>
      <c r="G6" s="10" t="n">
        <v>300000</v>
      </c>
    </row>
    <row r="7">
      <c r="A7" s="3" t="inlineStr">
        <is>
          <t>Marketing</t>
        </is>
      </c>
      <c r="B7" s="4" t="n">
        <v>6</v>
      </c>
      <c r="C7" s="4" t="n">
        <v>5</v>
      </c>
      <c r="D7" s="4" t="n">
        <v>1</v>
      </c>
      <c r="E7" s="5">
        <f>D7/B7</f>
        <v/>
      </c>
      <c r="F7" s="6" t="n"/>
      <c r="G7" s="6" t="n">
        <v>380000</v>
      </c>
    </row>
    <row r="8">
      <c r="A8" s="7" t="inlineStr">
        <is>
          <t>Product</t>
        </is>
      </c>
      <c r="B8" s="8" t="n">
        <v>5</v>
      </c>
      <c r="C8" s="8" t="n">
        <v>5</v>
      </c>
      <c r="D8" s="8" t="n">
        <v>0</v>
      </c>
      <c r="E8" s="9">
        <f>D8/B8</f>
        <v/>
      </c>
      <c r="F8" s="10" t="n"/>
      <c r="G8" s="10" t="n">
        <v>430000</v>
      </c>
    </row>
    <row r="9">
      <c r="A9" s="2" t="inlineStr">
        <is>
          <t>TOTAL</t>
        </is>
      </c>
      <c r="B9" s="11">
        <f>SUM(B3:B8)</f>
        <v/>
      </c>
      <c r="C9" s="11">
        <f>SUM(C3:C8)</f>
        <v/>
      </c>
      <c r="D9" s="11">
        <f>SUM(D3:D8)</f>
        <v/>
      </c>
      <c r="E9" s="12">
        <f>D9/B9</f>
        <v/>
      </c>
      <c r="F9" s="13">
        <f>AVERAGE(F3:F8)</f>
        <v/>
      </c>
      <c r="G9" s="13">
        <f>SUM(G3:G8)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Salary Analysis by Level — 2024</t>
        </is>
      </c>
    </row>
    <row r="2">
      <c r="A2" s="2" t="inlineStr">
        <is>
          <t>Level</t>
        </is>
      </c>
      <c r="B2" s="2" t="inlineStr">
        <is>
          <t>Headcount</t>
        </is>
      </c>
      <c r="C2" s="2" t="inlineStr">
        <is>
          <t>Min Salary</t>
        </is>
      </c>
      <c r="D2" s="2" t="inlineStr">
        <is>
          <t>Avg Salary</t>
        </is>
      </c>
      <c r="E2" s="2" t="inlineStr">
        <is>
          <t>Max Salary</t>
        </is>
      </c>
      <c r="F2" s="2" t="inlineStr">
        <is>
          <t>Band (Policy)</t>
        </is>
      </c>
    </row>
    <row r="3">
      <c r="A3" s="3" t="inlineStr">
        <is>
          <t>Junior</t>
        </is>
      </c>
      <c r="B3" s="4" t="n">
        <v>14</v>
      </c>
      <c r="C3" s="6" t="n">
        <v>29500</v>
      </c>
      <c r="D3" s="6" t="n">
        <v>33200</v>
      </c>
      <c r="E3" s="6" t="n">
        <v>37800</v>
      </c>
      <c r="F3" s="4" t="inlineStr">
        <is>
          <t>28,000 – 38,000</t>
        </is>
      </c>
    </row>
    <row r="4">
      <c r="A4" s="7" t="inlineStr">
        <is>
          <t>Mid</t>
        </is>
      </c>
      <c r="B4" s="8" t="n">
        <v>18</v>
      </c>
      <c r="C4" s="10" t="n">
        <v>39000</v>
      </c>
      <c r="D4" s="10" t="n">
        <v>46700</v>
      </c>
      <c r="E4" s="10" t="n">
        <v>54500</v>
      </c>
      <c r="F4" s="8" t="inlineStr">
        <is>
          <t>38,000 – 55,000</t>
        </is>
      </c>
    </row>
    <row r="5">
      <c r="A5" s="3" t="inlineStr">
        <is>
          <t>Senior</t>
        </is>
      </c>
      <c r="B5" s="4" t="n">
        <v>10</v>
      </c>
      <c r="C5" s="6" t="n">
        <v>56000</v>
      </c>
      <c r="D5" s="6" t="n">
        <v>67300</v>
      </c>
      <c r="E5" s="6" t="n">
        <v>79200</v>
      </c>
      <c r="F5" s="4" t="inlineStr">
        <is>
          <t>55,000 – 80,000</t>
        </is>
      </c>
    </row>
    <row r="6">
      <c r="A6" s="7" t="inlineStr">
        <is>
          <t>Lead</t>
        </is>
      </c>
      <c r="B6" s="8" t="n">
        <v>4</v>
      </c>
      <c r="C6" s="10" t="n">
        <v>76000</v>
      </c>
      <c r="D6" s="10" t="n">
        <v>87500</v>
      </c>
      <c r="E6" s="10" t="n">
        <v>98000</v>
      </c>
      <c r="F6" s="8" t="inlineStr">
        <is>
          <t>75,000 – 100,000</t>
        </is>
      </c>
    </row>
    <row r="7">
      <c r="A7" s="3" t="inlineStr">
        <is>
          <t>Manager</t>
        </is>
      </c>
      <c r="B7" s="4" t="n">
        <v>6</v>
      </c>
      <c r="C7" s="6" t="n">
        <v>86000</v>
      </c>
      <c r="D7" s="6" t="n">
        <v>97800</v>
      </c>
      <c r="E7" s="6" t="n">
        <v>118000</v>
      </c>
      <c r="F7" s="4" t="inlineStr">
        <is>
          <t>85,000 – 120,000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</cols>
  <sheetData>
    <row r="1" ht="30" customHeight="1">
      <c r="A1" s="1" t="inlineStr">
        <is>
          <t>Headcount by Location — Active Employees</t>
        </is>
      </c>
    </row>
    <row r="2">
      <c r="A2" s="2" t="inlineStr">
        <is>
          <t>Location</t>
        </is>
      </c>
      <c r="B2" s="2" t="inlineStr">
        <is>
          <t>Headcount</t>
        </is>
      </c>
      <c r="C2" s="2" t="inlineStr">
        <is>
          <t>% of Total</t>
        </is>
      </c>
      <c r="D2" s="2" t="inlineStr">
        <is>
          <t>Avg Salary</t>
        </is>
      </c>
    </row>
    <row r="3">
      <c r="A3" s="3" t="inlineStr">
        <is>
          <t>Madrid</t>
        </is>
      </c>
      <c r="B3" s="4" t="n">
        <v>22</v>
      </c>
      <c r="C3" s="5">
        <f>B3/SUM($B$3:$B$6)</f>
        <v/>
      </c>
      <c r="D3" s="6" t="n">
        <v>58400</v>
      </c>
    </row>
    <row r="4">
      <c r="A4" s="7" t="inlineStr">
        <is>
          <t>Barcelona</t>
        </is>
      </c>
      <c r="B4" s="8" t="n">
        <v>11</v>
      </c>
      <c r="C4" s="9">
        <f>B4/SUM($B$3:$B$6)</f>
        <v/>
      </c>
      <c r="D4" s="10" t="n">
        <v>61200</v>
      </c>
    </row>
    <row r="5">
      <c r="A5" s="3" t="inlineStr">
        <is>
          <t>Remote</t>
        </is>
      </c>
      <c r="B5" s="4" t="n">
        <v>10</v>
      </c>
      <c r="C5" s="5">
        <f>B5/SUM($B$3:$B$6)</f>
        <v/>
      </c>
      <c r="D5" s="6" t="n">
        <v>55800</v>
      </c>
    </row>
    <row r="6">
      <c r="A6" s="7" t="inlineStr">
        <is>
          <t>London</t>
        </is>
      </c>
      <c r="B6" s="8" t="n">
        <v>5</v>
      </c>
      <c r="C6" s="9">
        <f>B6/SUM($B$3:$B$6)</f>
        <v/>
      </c>
      <c r="D6" s="10" t="n">
        <v>74300</v>
      </c>
    </row>
    <row r="7">
      <c r="A7" s="2" t="inlineStr">
        <is>
          <t>TOTAL</t>
        </is>
      </c>
      <c r="B7" s="11">
        <f>SUM(B3:B6)</f>
        <v/>
      </c>
      <c r="C7" s="12">
        <f>SUM(C3:C6)</f>
        <v/>
      </c>
      <c r="D7" s="1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2026-03-01T11:15:21Z</dcterms:created>
  <dcterms:modified xmlns:dcterms="http://purl.org/dc/terms/" xmlns:xsi="http://www.w3.org/2001/XMLSchema-instance" xsi:type="dcterms:W3CDTF">2026-03-01T11:15:21Z</dcterms:modified>
</cp:coreProperties>
</file>