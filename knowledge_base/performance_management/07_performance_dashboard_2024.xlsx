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 Summary" sheetId="1" state="visible" r:id="rId1"/>
    <sheet xmlns:r="http://schemas.openxmlformats.org/officeDocument/2006/relationships" name="Score Distribution" sheetId="2" state="visible" r:id="rId2"/>
    <sheet xmlns:r="http://schemas.openxmlformats.org/officeDocument/2006/relationships" name="Top Perfor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0E3A5A"/>
      <sz val="10"/>
    </font>
    <font>
      <name val="Arial"/>
      <color rgb="00C0392B"/>
      <sz val="10"/>
    </font>
    <font>
      <name val="Arial"/>
      <b val="1"/>
      <color rgb="006737E1"/>
      <sz val="10"/>
    </font>
    <font>
      <name val="Arial"/>
      <color rgb="006737E1"/>
      <sz val="10"/>
    </font>
  </fonts>
  <fills count="7">
    <fill>
      <patternFill/>
    </fill>
    <fill>
      <patternFill patternType="gray125"/>
    </fill>
    <fill>
      <patternFill patternType="solid">
        <fgColor rgb="000E3A5A"/>
      </patternFill>
    </fill>
    <fill>
      <patternFill patternType="solid">
        <fgColor rgb="00164A72"/>
      </patternFill>
    </fill>
    <fill>
      <patternFill patternType="solid">
        <fgColor rgb="00FFFFFF"/>
      </patternFill>
    </fill>
    <fill>
      <patternFill patternType="solid">
        <fgColor rgb="00F2F5F8"/>
      </patternFill>
    </fill>
    <fill>
      <patternFill patternType="solid">
        <fgColor rgb="00D8EFFA"/>
      </patternFill>
    </fill>
  </fills>
  <borders count="2">
    <border>
      <left/>
      <right/>
      <top/>
      <bottom/>
      <diagonal/>
    </border>
    <border>
      <left style="thin">
        <color rgb="00C5D5E0"/>
      </left>
      <right style="thin">
        <color rgb="00C5D5E0"/>
      </right>
      <top style="thin">
        <color rgb="00C5D5E0"/>
      </top>
      <bottom style="thin">
        <color rgb="00C5D5E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9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9" fontId="4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5" fontId="3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5" fontId="3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0" fillId="0" borderId="1" pivotButton="0" quotePrefix="0" xfId="0"/>
    <xf numFmtId="165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164" fontId="7" fillId="6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3" customWidth="1" min="4" max="4"/>
    <col width="14" customWidth="1" min="5" max="5"/>
    <col width="13" customWidth="1" min="6" max="6"/>
    <col width="18" customWidth="1" min="7" max="7"/>
    <col width="22" customWidth="1" min="8" max="8"/>
  </cols>
  <sheetData>
    <row r="1" ht="30" customHeight="1">
      <c r="A1" s="1" t="inlineStr">
        <is>
          <t>Performance Review Dashboard — FY2024</t>
        </is>
      </c>
    </row>
    <row r="2">
      <c r="A2" s="2" t="inlineStr">
        <is>
          <t>Department</t>
        </is>
      </c>
      <c r="B2" s="2" t="inlineStr">
        <is>
          <t>Employees Reviewed</t>
        </is>
      </c>
      <c r="C2" s="2" t="inlineStr">
        <is>
          <t>Avg Score</t>
        </is>
      </c>
      <c r="D2" s="2" t="inlineStr">
        <is>
          <t>Outstanding</t>
        </is>
      </c>
      <c r="E2" s="2" t="inlineStr">
        <is>
          <t>Exceeds Exp.</t>
        </is>
      </c>
      <c r="F2" s="2" t="inlineStr">
        <is>
          <t>Meets Exp.</t>
        </is>
      </c>
      <c r="G2" s="2" t="inlineStr">
        <is>
          <t>Needs Improvement</t>
        </is>
      </c>
      <c r="H2" s="2" t="inlineStr">
        <is>
          <t>% Ready for Promotion</t>
        </is>
      </c>
    </row>
    <row r="3">
      <c r="A3" s="3" t="inlineStr">
        <is>
          <t>Engineering</t>
        </is>
      </c>
      <c r="B3" s="4" t="n">
        <v>17</v>
      </c>
      <c r="C3" s="5" t="n">
        <v>3.8</v>
      </c>
      <c r="D3" s="4" t="n">
        <v>3</v>
      </c>
      <c r="E3" s="4" t="n">
        <v>8</v>
      </c>
      <c r="F3" s="4" t="n">
        <v>5</v>
      </c>
      <c r="G3" s="4" t="n">
        <v>1</v>
      </c>
      <c r="H3" s="6">
        <f>(D3+E3)/B3</f>
        <v/>
      </c>
    </row>
    <row r="4">
      <c r="A4" s="7" t="inlineStr">
        <is>
          <t>HR</t>
        </is>
      </c>
      <c r="B4" s="8" t="n">
        <v>6</v>
      </c>
      <c r="C4" s="9" t="n">
        <v>3.5</v>
      </c>
      <c r="D4" s="8" t="n">
        <v>1</v>
      </c>
      <c r="E4" s="8" t="n">
        <v>2</v>
      </c>
      <c r="F4" s="8" t="n">
        <v>3</v>
      </c>
      <c r="G4" s="8" t="n">
        <v>0</v>
      </c>
      <c r="H4" s="10">
        <f>(D4+E4)/B4</f>
        <v/>
      </c>
    </row>
    <row r="5">
      <c r="A5" s="3" t="inlineStr">
        <is>
          <t>Sales</t>
        </is>
      </c>
      <c r="B5" s="4" t="n">
        <v>9</v>
      </c>
      <c r="C5" s="5" t="n">
        <v>3.6</v>
      </c>
      <c r="D5" s="4" t="n">
        <v>1</v>
      </c>
      <c r="E5" s="4" t="n">
        <v>4</v>
      </c>
      <c r="F5" s="4" t="n">
        <v>3</v>
      </c>
      <c r="G5" s="4" t="n">
        <v>1</v>
      </c>
      <c r="H5" s="6">
        <f>(D5+E5)/B5</f>
        <v/>
      </c>
    </row>
    <row r="6">
      <c r="A6" s="7" t="inlineStr">
        <is>
          <t>Finance</t>
        </is>
      </c>
      <c r="B6" s="8" t="n">
        <v>6</v>
      </c>
      <c r="C6" s="9" t="n">
        <v>3.9</v>
      </c>
      <c r="D6" s="8" t="n">
        <v>2</v>
      </c>
      <c r="E6" s="8" t="n">
        <v>2</v>
      </c>
      <c r="F6" s="8" t="n">
        <v>2</v>
      </c>
      <c r="G6" s="8" t="n">
        <v>0</v>
      </c>
      <c r="H6" s="10">
        <f>(D6+E6)/B6</f>
        <v/>
      </c>
    </row>
    <row r="7">
      <c r="A7" s="3" t="inlineStr">
        <is>
          <t>Marketing</t>
        </is>
      </c>
      <c r="B7" s="4" t="n">
        <v>5</v>
      </c>
      <c r="C7" s="5" t="n">
        <v>3.4</v>
      </c>
      <c r="D7" s="4" t="n">
        <v>0</v>
      </c>
      <c r="E7" s="4" t="n">
        <v>2</v>
      </c>
      <c r="F7" s="4" t="n">
        <v>3</v>
      </c>
      <c r="G7" s="4" t="n">
        <v>0</v>
      </c>
      <c r="H7" s="6">
        <f>(D7+E7)/B7</f>
        <v/>
      </c>
    </row>
    <row r="8">
      <c r="A8" s="7" t="inlineStr">
        <is>
          <t>Product</t>
        </is>
      </c>
      <c r="B8" s="8" t="n">
        <v>5</v>
      </c>
      <c r="C8" s="9" t="n">
        <v>4.1</v>
      </c>
      <c r="D8" s="8" t="n">
        <v>2</v>
      </c>
      <c r="E8" s="8" t="n">
        <v>2</v>
      </c>
      <c r="F8" s="8" t="n">
        <v>1</v>
      </c>
      <c r="G8" s="8" t="n">
        <v>0</v>
      </c>
      <c r="H8" s="10">
        <f>(D8+E8)/B8</f>
        <v/>
      </c>
    </row>
    <row r="9">
      <c r="A9" s="2" t="inlineStr">
        <is>
          <t>TOTAL / AVG</t>
        </is>
      </c>
      <c r="B9" s="11">
        <f>SUM(B3:B8)</f>
        <v/>
      </c>
      <c r="C9" s="12">
        <f>AVERAGE(C3:C8)</f>
        <v/>
      </c>
      <c r="D9" s="11">
        <f>SUM(D3:D8)</f>
        <v/>
      </c>
      <c r="E9" s="11">
        <f>SUM(E3:E8)</f>
        <v/>
      </c>
      <c r="F9" s="11">
        <f>SUM(F3:F8)</f>
        <v/>
      </c>
      <c r="G9" s="11">
        <f>SUM(G3:G8)</f>
        <v/>
      </c>
      <c r="H9" s="13">
        <f>(D9+E9)/B9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4" customWidth="1" min="4" max="4"/>
    <col width="14" customWidth="1" min="5" max="5"/>
  </cols>
  <sheetData>
    <row r="1" ht="30" customHeight="1">
      <c r="A1" s="1" t="inlineStr">
        <is>
          <t>Score Distribution — FY2024</t>
        </is>
      </c>
    </row>
    <row r="2">
      <c r="A2" s="2" t="inlineStr">
        <is>
          <t>Rating Label</t>
        </is>
      </c>
      <c r="B2" s="2" t="inlineStr">
        <is>
          <t>Score Range</t>
        </is>
      </c>
      <c r="C2" s="2" t="inlineStr">
        <is>
          <t>Count</t>
        </is>
      </c>
      <c r="D2" s="2" t="inlineStr">
        <is>
          <t>% of Total</t>
        </is>
      </c>
      <c r="E2" s="2" t="inlineStr">
        <is>
          <t>vs FY2023</t>
        </is>
      </c>
    </row>
    <row r="3">
      <c r="A3" s="14" t="inlineStr">
        <is>
          <t>Outstanding</t>
        </is>
      </c>
      <c r="B3" s="4" t="inlineStr">
        <is>
          <t>4.5 – 5.0</t>
        </is>
      </c>
      <c r="C3" s="4" t="n">
        <v>9</v>
      </c>
      <c r="D3" s="15">
        <f>C3/SUM($C$3:$C$6)</f>
        <v/>
      </c>
      <c r="E3" s="16" t="inlineStr">
        <is>
          <t>+2</t>
        </is>
      </c>
    </row>
    <row r="4">
      <c r="A4" s="17" t="inlineStr">
        <is>
          <t>Exceeds Expectations</t>
        </is>
      </c>
      <c r="B4" s="8" t="inlineStr">
        <is>
          <t>3.5 – 4.5</t>
        </is>
      </c>
      <c r="C4" s="8" t="n">
        <v>20</v>
      </c>
      <c r="D4" s="18">
        <f>C4/SUM($C$3:$C$6)</f>
        <v/>
      </c>
      <c r="E4" s="19" t="inlineStr">
        <is>
          <t>+3</t>
        </is>
      </c>
    </row>
    <row r="5">
      <c r="A5" s="14" t="inlineStr">
        <is>
          <t>Meets Expectations</t>
        </is>
      </c>
      <c r="B5" s="4" t="inlineStr">
        <is>
          <t>2.0 – 3.5</t>
        </is>
      </c>
      <c r="C5" s="4" t="n">
        <v>17</v>
      </c>
      <c r="D5" s="15">
        <f>C5/SUM($C$3:$C$6)</f>
        <v/>
      </c>
      <c r="E5" s="20" t="inlineStr">
        <is>
          <t>-1</t>
        </is>
      </c>
    </row>
    <row r="6">
      <c r="A6" s="17" t="inlineStr">
        <is>
          <t>Needs Improvement</t>
        </is>
      </c>
      <c r="B6" s="8" t="inlineStr">
        <is>
          <t>1.0 – 2.0</t>
        </is>
      </c>
      <c r="C6" s="8" t="n">
        <v>2</v>
      </c>
      <c r="D6" s="18">
        <f>C6/SUM($C$3:$C$6)</f>
        <v/>
      </c>
      <c r="E6" s="21" t="inlineStr">
        <is>
          <t>-4</t>
        </is>
      </c>
    </row>
    <row r="7">
      <c r="A7" s="2" t="inlineStr">
        <is>
          <t>TOTAL</t>
        </is>
      </c>
      <c r="B7" s="22" t="n"/>
      <c r="C7" s="11">
        <f>SUM(C3:C6)</f>
        <v/>
      </c>
      <c r="D7" s="23">
        <f>SUM(D3:D6)</f>
        <v/>
      </c>
      <c r="E7" s="22" t="n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6" customWidth="1" min="3" max="3"/>
    <col width="14" customWidth="1" min="4" max="4"/>
    <col width="10" customWidth="1" min="5" max="5"/>
    <col width="22" customWidth="1" min="6" max="6"/>
  </cols>
  <sheetData>
    <row r="1" ht="30" customHeight="1">
      <c r="A1" s="1" t="inlineStr">
        <is>
          <t>Top 10 Performers — FY2024 (Score ≥ 4.5)</t>
        </is>
      </c>
    </row>
    <row r="2">
      <c r="A2" s="2" t="inlineStr">
        <is>
          <t>Rank</t>
        </is>
      </c>
      <c r="B2" s="2" t="inlineStr">
        <is>
          <t>Employee</t>
        </is>
      </c>
      <c r="C2" s="2" t="inlineStr">
        <is>
          <t>Department</t>
        </is>
      </c>
      <c r="D2" s="2" t="inlineStr">
        <is>
          <t>Level</t>
        </is>
      </c>
      <c r="E2" s="2" t="inlineStr">
        <is>
          <t>Score</t>
        </is>
      </c>
      <c r="F2" s="2" t="inlineStr">
        <is>
          <t>Promotion Eligible</t>
        </is>
      </c>
    </row>
    <row r="3">
      <c r="A3" s="11" t="n">
        <v>1</v>
      </c>
      <c r="B3" s="24" t="inlineStr">
        <is>
          <t>Karen Nguyen</t>
        </is>
      </c>
      <c r="C3" s="24" t="inlineStr">
        <is>
          <t>Finance</t>
        </is>
      </c>
      <c r="D3" s="24" t="inlineStr">
        <is>
          <t>Senior</t>
        </is>
      </c>
      <c r="E3" s="25" t="n">
        <v>4.9</v>
      </c>
      <c r="F3" s="24" t="inlineStr">
        <is>
          <t>Yes</t>
        </is>
      </c>
    </row>
    <row r="4">
      <c r="A4" s="8" t="n">
        <v>2</v>
      </c>
      <c r="B4" s="7" t="inlineStr">
        <is>
          <t>Raj Patel</t>
        </is>
      </c>
      <c r="C4" s="7" t="inlineStr">
        <is>
          <t>Engineering</t>
        </is>
      </c>
      <c r="D4" s="7" t="inlineStr">
        <is>
          <t>Lead</t>
        </is>
      </c>
      <c r="E4" s="26" t="n">
        <v>4.8</v>
      </c>
      <c r="F4" s="7" t="inlineStr">
        <is>
          <t>No (already Lead)</t>
        </is>
      </c>
    </row>
    <row r="5">
      <c r="A5" s="4" t="n">
        <v>3</v>
      </c>
      <c r="B5" s="3" t="inlineStr">
        <is>
          <t>Emre Yilmaz</t>
        </is>
      </c>
      <c r="C5" s="3" t="inlineStr">
        <is>
          <t>Product</t>
        </is>
      </c>
      <c r="D5" s="3" t="inlineStr">
        <is>
          <t>Senior</t>
        </is>
      </c>
      <c r="E5" s="27" t="n">
        <v>4.8</v>
      </c>
      <c r="F5" s="3" t="inlineStr">
        <is>
          <t>Yes</t>
        </is>
      </c>
    </row>
    <row r="6">
      <c r="A6" s="8" t="n">
        <v>4</v>
      </c>
      <c r="B6" s="7" t="inlineStr">
        <is>
          <t>Julia Becker</t>
        </is>
      </c>
      <c r="C6" s="7" t="inlineStr">
        <is>
          <t>Engineering</t>
        </is>
      </c>
      <c r="D6" s="7" t="inlineStr">
        <is>
          <t>Mid</t>
        </is>
      </c>
      <c r="E6" s="26" t="n">
        <v>4.7</v>
      </c>
      <c r="F6" s="7" t="inlineStr">
        <is>
          <t>Yes</t>
        </is>
      </c>
    </row>
    <row r="7">
      <c r="A7" s="4" t="n">
        <v>5</v>
      </c>
      <c r="B7" s="3" t="inlineStr">
        <is>
          <t>Nina Larsson</t>
        </is>
      </c>
      <c r="C7" s="3" t="inlineStr">
        <is>
          <t>Product</t>
        </is>
      </c>
      <c r="D7" s="3" t="inlineStr">
        <is>
          <t>Manager</t>
        </is>
      </c>
      <c r="E7" s="27" t="n">
        <v>4.7</v>
      </c>
      <c r="F7" s="3" t="inlineStr">
        <is>
          <t>No (Manager)</t>
        </is>
      </c>
    </row>
    <row r="8">
      <c r="A8" s="8" t="n">
        <v>6</v>
      </c>
      <c r="B8" s="7" t="inlineStr">
        <is>
          <t>Gabriele Ricci</t>
        </is>
      </c>
      <c r="C8" s="7" t="inlineStr">
        <is>
          <t>Engineering</t>
        </is>
      </c>
      <c r="D8" s="7" t="inlineStr">
        <is>
          <t>Senior</t>
        </is>
      </c>
      <c r="E8" s="26" t="n">
        <v>4.6</v>
      </c>
      <c r="F8" s="7" t="inlineStr">
        <is>
          <t>Yes</t>
        </is>
      </c>
    </row>
    <row r="9">
      <c r="A9" s="4" t="n">
        <v>7</v>
      </c>
      <c r="B9" s="3" t="inlineStr">
        <is>
          <t>Diana Müller</t>
        </is>
      </c>
      <c r="C9" s="3" t="inlineStr">
        <is>
          <t>Finance</t>
        </is>
      </c>
      <c r="D9" s="3" t="inlineStr">
        <is>
          <t>Senior</t>
        </is>
      </c>
      <c r="E9" s="27" t="n">
        <v>4.6</v>
      </c>
      <c r="F9" s="3" t="inlineStr">
        <is>
          <t>No (&lt; 12 months)</t>
        </is>
      </c>
    </row>
    <row r="10">
      <c r="A10" s="8" t="n">
        <v>8</v>
      </c>
      <c r="B10" s="7" t="inlineStr">
        <is>
          <t>Yuki Tanaka</t>
        </is>
      </c>
      <c r="C10" s="7" t="inlineStr">
        <is>
          <t>HR</t>
        </is>
      </c>
      <c r="D10" s="7" t="inlineStr">
        <is>
          <t>Mid</t>
        </is>
      </c>
      <c r="E10" s="26" t="n">
        <v>4.6</v>
      </c>
      <c r="F10" s="7" t="inlineStr">
        <is>
          <t>Yes</t>
        </is>
      </c>
    </row>
    <row r="11">
      <c r="A11" s="4" t="n">
        <v>9</v>
      </c>
      <c r="B11" s="3" t="inlineStr">
        <is>
          <t>Alice Johnson</t>
        </is>
      </c>
      <c r="C11" s="3" t="inlineStr">
        <is>
          <t>Sales</t>
        </is>
      </c>
      <c r="D11" s="3" t="inlineStr">
        <is>
          <t>Senior</t>
        </is>
      </c>
      <c r="E11" s="27" t="n">
        <v>4.5</v>
      </c>
      <c r="F11" s="3" t="inlineStr">
        <is>
          <t>Yes</t>
        </is>
      </c>
    </row>
    <row r="12">
      <c r="A12" s="8" t="n">
        <v>10</v>
      </c>
      <c r="B12" s="7" t="inlineStr">
        <is>
          <t>Thomas Berger</t>
        </is>
      </c>
      <c r="C12" s="7" t="inlineStr">
        <is>
          <t>Marketing</t>
        </is>
      </c>
      <c r="D12" s="7" t="inlineStr">
        <is>
          <t>Mid</t>
        </is>
      </c>
      <c r="E12" s="26" t="n">
        <v>4.5</v>
      </c>
      <c r="F12" s="7" t="inlineStr">
        <is>
          <t>Yes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2026-03-01T11:15:21Z</dcterms:created>
  <dcterms:modified xmlns:dcterms="http://purl.org/dc/terms/" xmlns:xsi="http://www.w3.org/2001/XMLSchema-instance" xsi:type="dcterms:W3CDTF">2026-03-01T11:15:21Z</dcterms:modified>
</cp:coreProperties>
</file>